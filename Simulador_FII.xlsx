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bio.FABIO\Downloads\"/>
    </mc:Choice>
  </mc:AlternateContent>
  <xr:revisionPtr revIDLastSave="0" documentId="13_ncr:1_{A3A1CE42-72C5-42CA-AE46-301BFF2EBB46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imulador" sheetId="1" r:id="rId1"/>
    <sheet name="Apoio" sheetId="2" r:id="rId2"/>
  </sheets>
  <definedNames>
    <definedName name="anos">Simulador!$E$13</definedName>
    <definedName name="aporte">Simulador!$E$12</definedName>
    <definedName name="aporte_sugerido">Simulador!$E$8</definedName>
    <definedName name="patrimonio">Simulador!$E$16</definedName>
    <definedName name="pct_aporte">Simulador!$E$7</definedName>
    <definedName name="perfil_sel">Simulador!$E$9</definedName>
    <definedName name="perfis">Apoio!$F$2:$F$4</definedName>
    <definedName name="salario">Simulador!$E$5</definedName>
    <definedName name="tabela_perfis">Apoio!$A$2:$D$19</definedName>
    <definedName name="taxa_mensal">Simulador!$E$6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1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J4" i="2"/>
  <c r="K4" i="2" s="1"/>
  <c r="L4" i="2" s="1"/>
  <c r="A4" i="2"/>
  <c r="J3" i="2"/>
  <c r="K3" i="2" s="1"/>
  <c r="L3" i="2" s="1"/>
  <c r="A3" i="2"/>
  <c r="J2" i="2"/>
  <c r="K2" i="2" s="1"/>
  <c r="L2" i="2" s="1"/>
  <c r="A2" i="2"/>
  <c r="B35" i="1"/>
  <c r="D35" i="1" s="1"/>
  <c r="E35" i="1" s="1"/>
  <c r="B34" i="1"/>
  <c r="B33" i="1"/>
  <c r="B32" i="1"/>
  <c r="B31" i="1"/>
  <c r="D31" i="1" s="1"/>
  <c r="E31" i="1" s="1"/>
  <c r="B30" i="1"/>
  <c r="D30" i="1" s="1"/>
  <c r="E30" i="1" s="1"/>
  <c r="B28" i="1"/>
  <c r="D26" i="1"/>
  <c r="E26" i="1" s="1"/>
  <c r="C26" i="1"/>
  <c r="D25" i="1"/>
  <c r="E25" i="1" s="1"/>
  <c r="C25" i="1"/>
  <c r="D24" i="1"/>
  <c r="E24" i="1" s="1"/>
  <c r="C24" i="1"/>
  <c r="D23" i="1"/>
  <c r="E23" i="1" s="1"/>
  <c r="C23" i="1"/>
  <c r="D22" i="1"/>
  <c r="E22" i="1" s="1"/>
  <c r="C22" i="1"/>
  <c r="E16" i="1"/>
  <c r="E18" i="1" s="1"/>
  <c r="E14" i="1"/>
  <c r="E8" i="1"/>
  <c r="D32" i="1" l="1"/>
  <c r="E32" i="1" s="1"/>
  <c r="D33" i="1"/>
  <c r="E33" i="1" s="1"/>
  <c r="D34" i="1"/>
  <c r="E34" i="1" s="1"/>
  <c r="E36" i="1" s="1"/>
  <c r="E17" i="1"/>
  <c r="D36" i="1"/>
  <c r="D37" i="1" s="1"/>
</calcChain>
</file>

<file path=xl/sharedStrings.xml><?xml version="1.0" encoding="utf-8"?>
<sst xmlns="http://schemas.openxmlformats.org/spreadsheetml/2006/main" count="80" uniqueCount="40">
  <si>
    <t>SIMULADOR DE FUNDOS IMOBILIÁRIOS</t>
  </si>
  <si>
    <t>CONFIGURAÇÕES</t>
  </si>
  <si>
    <t>Salário mensal (R$)</t>
  </si>
  <si>
    <t>Rendimento mensal da carteira</t>
  </si>
  <si>
    <t>% do salário destinado ao aporte</t>
  </si>
  <si>
    <t>Aporte sugerido (R$)</t>
  </si>
  <si>
    <t>Perfil do investidor</t>
  </si>
  <si>
    <t>Moderado</t>
  </si>
  <si>
    <t>SIMULAÇÃO</t>
  </si>
  <si>
    <t>Quanto investir por mês (R$)</t>
  </si>
  <si>
    <t>Por quantos anos</t>
  </si>
  <si>
    <t>Taxa de rendimento mensal</t>
  </si>
  <si>
    <t>Total investido (R$)</t>
  </si>
  <si>
    <t>Patrimônio acumulado (R$)</t>
  </si>
  <si>
    <t>Rendimento acumulado (R$)</t>
  </si>
  <si>
    <t>Dividendos por mês (R$)</t>
  </si>
  <si>
    <t>Anos</t>
  </si>
  <si>
    <t>Total investido</t>
  </si>
  <si>
    <t>Patrimônio</t>
  </si>
  <si>
    <t>Dividendos por mês</t>
  </si>
  <si>
    <t>Tipo de fundo</t>
  </si>
  <si>
    <t>% do aporte</t>
  </si>
  <si>
    <t>Valor (R$)</t>
  </si>
  <si>
    <t>Total</t>
  </si>
  <si>
    <t>Checagem (perfil soma 100%)</t>
  </si>
  <si>
    <t>Chave</t>
  </si>
  <si>
    <t>Perfil</t>
  </si>
  <si>
    <t>Perfis (lista)</t>
  </si>
  <si>
    <t>Tipos de fundo</t>
  </si>
  <si>
    <t>Soma %</t>
  </si>
  <si>
    <t>Status</t>
  </si>
  <si>
    <t>Conservador</t>
  </si>
  <si>
    <t>Logística</t>
  </si>
  <si>
    <t>Lajes corporativas</t>
  </si>
  <si>
    <t>Shoppings</t>
  </si>
  <si>
    <t>Arrojado</t>
  </si>
  <si>
    <t>Papel (CRI)</t>
  </si>
  <si>
    <t>Fundo de fundos</t>
  </si>
  <si>
    <t>Híbridos</t>
  </si>
  <si>
    <t>CENÁRIOS DE 2 A 30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</si>
</sst>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&quot;(R$ &quot;#,##0.00\);\-"/>
  </numFmts>
  <fonts count="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</fills>
  <borders count="2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A6A6A6"/>
      </bottom>
      <diagonal/>
    </border>
    <border>
      <left/>
      <right/>
      <top style="medium">
        <color indexed="64"/>
      </top>
      <bottom style="thin">
        <color rgb="FFA6A6A6"/>
      </bottom>
      <diagonal/>
    </border>
    <border>
      <left/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5" borderId="1" xfId="0" applyFont="1" applyFill="1" applyBorder="1"/>
    <xf numFmtId="0" fontId="4" fillId="0" borderId="1" xfId="0" applyFont="1" applyBorder="1"/>
    <xf numFmtId="9" fontId="4" fillId="0" borderId="1" xfId="0" applyNumberFormat="1" applyFont="1" applyBorder="1"/>
    <xf numFmtId="9" fontId="3" fillId="5" borderId="1" xfId="0" applyNumberFormat="1" applyFont="1" applyFill="1" applyBorder="1"/>
    <xf numFmtId="0" fontId="6" fillId="5" borderId="1" xfId="0" applyFont="1" applyFill="1" applyBorder="1"/>
    <xf numFmtId="164" fontId="3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1" fontId="4" fillId="4" borderId="10" xfId="0" applyNumberFormat="1" applyFont="1" applyFill="1" applyBorder="1" applyAlignment="1" applyProtection="1">
      <alignment horizontal="center" vertical="center" wrapText="1"/>
      <protection locked="0"/>
    </xf>
    <xf numFmtId="1" fontId="4" fillId="4" borderId="11" xfId="0" applyNumberFormat="1" applyFont="1" applyFill="1" applyBorder="1" applyAlignment="1" applyProtection="1">
      <alignment horizontal="center" vertical="center" wrapText="1"/>
      <protection locked="0"/>
    </xf>
    <xf numFmtId="164" fontId="3" fillId="5" borderId="15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 vertical="center"/>
    </xf>
    <xf numFmtId="164" fontId="3" fillId="5" borderId="9" xfId="0" applyNumberFormat="1" applyFont="1" applyFill="1" applyBorder="1" applyAlignment="1">
      <alignment horizontal="center" vertical="center"/>
    </xf>
    <xf numFmtId="164" fontId="3" fillId="5" borderId="15" xfId="0" applyNumberFormat="1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/>
    </xf>
    <xf numFmtId="9" fontId="3" fillId="5" borderId="16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left"/>
    </xf>
    <xf numFmtId="9" fontId="6" fillId="5" borderId="16" xfId="0" applyNumberFormat="1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left"/>
    </xf>
    <xf numFmtId="164" fontId="3" fillId="5" borderId="21" xfId="0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/>
    </xf>
    <xf numFmtId="164" fontId="6" fillId="5" borderId="21" xfId="0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6" fillId="5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164" fontId="4" fillId="4" borderId="19" xfId="0" applyNumberFormat="1" applyFont="1" applyFill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left"/>
    </xf>
    <xf numFmtId="1" fontId="4" fillId="4" borderId="21" xfId="0" applyNumberFormat="1" applyFont="1" applyFill="1" applyBorder="1" applyAlignment="1" applyProtection="1">
      <alignment horizontal="center" vertical="center"/>
      <protection locked="0"/>
    </xf>
    <xf numFmtId="10" fontId="5" fillId="5" borderId="21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164" fontId="6" fillId="5" borderId="24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4" fontId="4" fillId="4" borderId="21" xfId="0" applyNumberFormat="1" applyFont="1" applyFill="1" applyBorder="1" applyAlignment="1" applyProtection="1">
      <alignment horizontal="center" vertical="center"/>
      <protection locked="0"/>
    </xf>
    <xf numFmtId="10" fontId="4" fillId="4" borderId="21" xfId="0" applyNumberFormat="1" applyFont="1" applyFill="1" applyBorder="1" applyAlignment="1" applyProtection="1">
      <alignment horizontal="center" vertical="center"/>
      <protection locked="0"/>
    </xf>
    <xf numFmtId="9" fontId="4" fillId="4" borderId="21" xfId="0" applyNumberFormat="1" applyFont="1" applyFill="1" applyBorder="1" applyAlignment="1" applyProtection="1">
      <alignment horizontal="center" vertical="center"/>
      <protection locked="0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" fillId="4" borderId="24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DIVISÃO DO APORTE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Simulador!$C$28:$C$29</c:f>
              <c:strCache>
                <c:ptCount val="2"/>
                <c:pt idx="0">
                  <c:v>DIVISÃO DO APORTE - PERFIL ARROJADO</c:v>
                </c:pt>
                <c:pt idx="1">
                  <c:v>Tipo de fundo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Simulador!$B$30:$B$35</c:f>
              <c:strCache>
                <c:ptCount val="6"/>
                <c:pt idx="0">
                  <c:v>Logística</c:v>
                </c:pt>
                <c:pt idx="1">
                  <c:v>Lajes corporativas</c:v>
                </c:pt>
                <c:pt idx="2">
                  <c:v>Shoppings</c:v>
                </c:pt>
                <c:pt idx="3">
                  <c:v>Papel (CRI)</c:v>
                </c:pt>
                <c:pt idx="4">
                  <c:v>Fundo de fundos</c:v>
                </c:pt>
                <c:pt idx="5">
                  <c:v>Híbridos</c:v>
                </c:pt>
              </c:strCache>
            </c:strRef>
          </c:cat>
          <c:val>
            <c:numRef>
              <c:f>Simulador!$D$30:$D$35</c:f>
              <c:numCache>
                <c:formatCode>0%</c:formatCode>
                <c:ptCount val="6"/>
                <c:pt idx="0">
                  <c:v>0.15</c:v>
                </c:pt>
                <c:pt idx="1">
                  <c:v>0.1</c:v>
                </c:pt>
                <c:pt idx="2">
                  <c:v>0.1</c:v>
                </c:pt>
                <c:pt idx="3">
                  <c:v>0.4</c:v>
                </c:pt>
                <c:pt idx="4">
                  <c:v>0.15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B-47ED-8AF1-B5557FEFFAA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38</xdr:row>
      <xdr:rowOff>4762</xdr:rowOff>
    </xdr:from>
    <xdr:to>
      <xdr:col>3</xdr:col>
      <xdr:colOff>962025</xdr:colOff>
      <xdr:row>52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295095-7311-D8DA-534F-302B8E0AC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7"/>
  <sheetViews>
    <sheetView showGridLines="0" tabSelected="1" zoomScaleNormal="100" workbookViewId="0">
      <selection activeCell="E18" sqref="E18"/>
    </sheetView>
  </sheetViews>
  <sheetFormatPr defaultColWidth="8.7109375" defaultRowHeight="15" x14ac:dyDescent="0.25"/>
  <cols>
    <col min="1" max="1" width="2" customWidth="1"/>
    <col min="2" max="2" width="26.42578125" style="10" bestFit="1" customWidth="1"/>
    <col min="3" max="3" width="15.85546875" style="9" customWidth="1"/>
    <col min="4" max="4" width="16.140625" style="10" customWidth="1"/>
    <col min="5" max="5" width="19.140625" style="9" bestFit="1" customWidth="1"/>
  </cols>
  <sheetData>
    <row r="1" spans="2:5" ht="15.75" thickBot="1" x14ac:dyDescent="0.3"/>
    <row r="2" spans="2:5" ht="37.5" customHeight="1" thickBot="1" x14ac:dyDescent="0.3">
      <c r="B2" s="12" t="s">
        <v>0</v>
      </c>
      <c r="C2" s="13"/>
      <c r="D2" s="13"/>
      <c r="E2" s="14"/>
    </row>
    <row r="3" spans="2:5" ht="15.75" thickBot="1" x14ac:dyDescent="0.3"/>
    <row r="4" spans="2:5" x14ac:dyDescent="0.25">
      <c r="B4" s="55" t="s">
        <v>1</v>
      </c>
      <c r="C4" s="56"/>
      <c r="D4" s="56"/>
      <c r="E4" s="57"/>
    </row>
    <row r="5" spans="2:5" x14ac:dyDescent="0.25">
      <c r="B5" s="49" t="s">
        <v>2</v>
      </c>
      <c r="C5" s="45"/>
      <c r="D5" s="45"/>
      <c r="E5" s="58">
        <v>8000</v>
      </c>
    </row>
    <row r="6" spans="2:5" x14ac:dyDescent="0.25">
      <c r="B6" s="49" t="s">
        <v>3</v>
      </c>
      <c r="C6" s="45"/>
      <c r="D6" s="45"/>
      <c r="E6" s="59">
        <v>8.0000000000000002E-3</v>
      </c>
    </row>
    <row r="7" spans="2:5" x14ac:dyDescent="0.25">
      <c r="B7" s="49" t="s">
        <v>4</v>
      </c>
      <c r="C7" s="45"/>
      <c r="D7" s="45"/>
      <c r="E7" s="60">
        <v>0.2</v>
      </c>
    </row>
    <row r="8" spans="2:5" x14ac:dyDescent="0.25">
      <c r="B8" s="49" t="s">
        <v>5</v>
      </c>
      <c r="C8" s="45"/>
      <c r="D8" s="45"/>
      <c r="E8" s="38">
        <f>salario*pct_aporte</f>
        <v>1600</v>
      </c>
    </row>
    <row r="9" spans="2:5" ht="15.75" thickBot="1" x14ac:dyDescent="0.3">
      <c r="B9" s="61" t="s">
        <v>6</v>
      </c>
      <c r="C9" s="62"/>
      <c r="D9" s="62"/>
      <c r="E9" s="63" t="s">
        <v>31</v>
      </c>
    </row>
    <row r="10" spans="2:5" ht="15.75" thickBot="1" x14ac:dyDescent="0.3"/>
    <row r="11" spans="2:5" ht="15.75" thickBot="1" x14ac:dyDescent="0.3">
      <c r="B11" s="15" t="s">
        <v>8</v>
      </c>
      <c r="C11" s="16"/>
      <c r="D11" s="16"/>
      <c r="E11" s="17"/>
    </row>
    <row r="12" spans="2:5" x14ac:dyDescent="0.25">
      <c r="B12" s="46" t="s">
        <v>9</v>
      </c>
      <c r="C12" s="47"/>
      <c r="D12" s="47"/>
      <c r="E12" s="48">
        <v>1600</v>
      </c>
    </row>
    <row r="13" spans="2:5" x14ac:dyDescent="0.25">
      <c r="B13" s="49" t="s">
        <v>10</v>
      </c>
      <c r="C13" s="45"/>
      <c r="D13" s="45"/>
      <c r="E13" s="50">
        <v>20</v>
      </c>
    </row>
    <row r="14" spans="2:5" x14ac:dyDescent="0.25">
      <c r="B14" s="49" t="s">
        <v>11</v>
      </c>
      <c r="C14" s="45"/>
      <c r="D14" s="45"/>
      <c r="E14" s="51">
        <f>taxa_mensal</f>
        <v>8.0000000000000002E-3</v>
      </c>
    </row>
    <row r="15" spans="2:5" x14ac:dyDescent="0.25">
      <c r="B15" s="49" t="s">
        <v>12</v>
      </c>
      <c r="C15" s="45"/>
      <c r="D15" s="45"/>
      <c r="E15" s="38">
        <f>aporte*anos*12</f>
        <v>384000</v>
      </c>
    </row>
    <row r="16" spans="2:5" x14ac:dyDescent="0.25">
      <c r="B16" s="39" t="s">
        <v>13</v>
      </c>
      <c r="C16" s="31"/>
      <c r="D16" s="31"/>
      <c r="E16" s="40">
        <f>FV(taxa_mensal,anos*12,-aporte)</f>
        <v>1153809.9508402054</v>
      </c>
    </row>
    <row r="17" spans="2:5" x14ac:dyDescent="0.25">
      <c r="B17" s="49" t="s">
        <v>14</v>
      </c>
      <c r="C17" s="45"/>
      <c r="D17" s="45"/>
      <c r="E17" s="38">
        <f>E16-E15</f>
        <v>769809.95084020542</v>
      </c>
    </row>
    <row r="18" spans="2:5" ht="15.75" thickBot="1" x14ac:dyDescent="0.3">
      <c r="B18" s="52" t="s">
        <v>15</v>
      </c>
      <c r="C18" s="53"/>
      <c r="D18" s="53"/>
      <c r="E18" s="54">
        <f>E16*taxa_mensal</f>
        <v>9230.479606721643</v>
      </c>
    </row>
    <row r="19" spans="2:5" ht="15.75" thickBot="1" x14ac:dyDescent="0.3"/>
    <row r="20" spans="2:5" x14ac:dyDescent="0.25">
      <c r="B20" s="18" t="s">
        <v>39</v>
      </c>
      <c r="C20" s="19"/>
      <c r="D20" s="19"/>
      <c r="E20" s="20"/>
    </row>
    <row r="21" spans="2:5" ht="21.75" customHeight="1" x14ac:dyDescent="0.25">
      <c r="B21" s="21" t="s">
        <v>16</v>
      </c>
      <c r="C21" s="1" t="s">
        <v>17</v>
      </c>
      <c r="D21" s="1" t="s">
        <v>18</v>
      </c>
      <c r="E21" s="22" t="s">
        <v>19</v>
      </c>
    </row>
    <row r="22" spans="2:5" x14ac:dyDescent="0.25">
      <c r="B22" s="23">
        <v>2</v>
      </c>
      <c r="C22" s="8">
        <f>aporte*B22*12</f>
        <v>38400</v>
      </c>
      <c r="D22" s="11">
        <f>FV(taxa_mensal,B22*12,-aporte)</f>
        <v>42149.048177791301</v>
      </c>
      <c r="E22" s="26">
        <f>D22*taxa_mensal</f>
        <v>337.1923854223304</v>
      </c>
    </row>
    <row r="23" spans="2:5" x14ac:dyDescent="0.25">
      <c r="B23" s="23">
        <v>5</v>
      </c>
      <c r="C23" s="8">
        <f>aporte*B23*12</f>
        <v>96000</v>
      </c>
      <c r="D23" s="11">
        <f>FV(taxa_mensal,B23*12,-aporte)</f>
        <v>122598.18693100836</v>
      </c>
      <c r="E23" s="26">
        <f>D23*taxa_mensal</f>
        <v>980.78549544806685</v>
      </c>
    </row>
    <row r="24" spans="2:5" x14ac:dyDescent="0.25">
      <c r="B24" s="23">
        <v>10</v>
      </c>
      <c r="C24" s="8">
        <f>aporte*B24*12</f>
        <v>192000</v>
      </c>
      <c r="D24" s="11">
        <f>FV(taxa_mensal,B24*12,-aporte)</f>
        <v>320347.95105586899</v>
      </c>
      <c r="E24" s="26">
        <f>D24*taxa_mensal</f>
        <v>2562.7836084469518</v>
      </c>
    </row>
    <row r="25" spans="2:5" x14ac:dyDescent="0.25">
      <c r="B25" s="23">
        <v>20</v>
      </c>
      <c r="C25" s="8">
        <f>aporte*B25*12</f>
        <v>384000</v>
      </c>
      <c r="D25" s="11">
        <f>FV(taxa_mensal,B25*12,-aporte)</f>
        <v>1153809.9508402054</v>
      </c>
      <c r="E25" s="26">
        <f>D25*taxa_mensal</f>
        <v>9230.479606721643</v>
      </c>
    </row>
    <row r="26" spans="2:5" ht="15.75" thickBot="1" x14ac:dyDescent="0.3">
      <c r="B26" s="24">
        <v>30</v>
      </c>
      <c r="C26" s="28">
        <f>aporte*B26*12</f>
        <v>576000</v>
      </c>
      <c r="D26" s="25">
        <f>FV(taxa_mensal,B26*12,-aporte)</f>
        <v>3322261.1701937364</v>
      </c>
      <c r="E26" s="27">
        <f>D26*taxa_mensal</f>
        <v>26578.089361549894</v>
      </c>
    </row>
    <row r="27" spans="2:5" ht="15.75" thickBot="1" x14ac:dyDescent="0.3"/>
    <row r="28" spans="2:5" ht="15.75" thickBot="1" x14ac:dyDescent="0.3">
      <c r="B28" s="15" t="str">
        <f>"DIVISÃO DO APORTE - PERFIL "&amp;UPPER(perfil_sel)</f>
        <v>DIVISÃO DO APORTE - PERFIL CONSERVADOR</v>
      </c>
      <c r="C28" s="16"/>
      <c r="D28" s="16"/>
      <c r="E28" s="17"/>
    </row>
    <row r="29" spans="2:5" x14ac:dyDescent="0.25">
      <c r="B29" s="33" t="s">
        <v>20</v>
      </c>
      <c r="C29" s="34"/>
      <c r="D29" s="35" t="s">
        <v>21</v>
      </c>
      <c r="E29" s="36" t="s">
        <v>22</v>
      </c>
    </row>
    <row r="30" spans="2:5" x14ac:dyDescent="0.25">
      <c r="B30" s="37" t="str">
        <f>Apoio!H2</f>
        <v>Logística</v>
      </c>
      <c r="C30" s="29"/>
      <c r="D30" s="30">
        <f>VLOOKUP(perfil_sel&amp;"|"&amp;B30,tabela_perfis,4,0)</f>
        <v>0.15</v>
      </c>
      <c r="E30" s="38">
        <f>aporte*D30</f>
        <v>240</v>
      </c>
    </row>
    <row r="31" spans="2:5" x14ac:dyDescent="0.25">
      <c r="B31" s="37" t="str">
        <f>Apoio!H3</f>
        <v>Lajes corporativas</v>
      </c>
      <c r="C31" s="29"/>
      <c r="D31" s="30">
        <f>VLOOKUP(perfil_sel&amp;"|"&amp;B31,tabela_perfis,4,0)</f>
        <v>0.1</v>
      </c>
      <c r="E31" s="38">
        <f>aporte*D31</f>
        <v>160</v>
      </c>
    </row>
    <row r="32" spans="2:5" x14ac:dyDescent="0.25">
      <c r="B32" s="37" t="str">
        <f>Apoio!H4</f>
        <v>Shoppings</v>
      </c>
      <c r="C32" s="29"/>
      <c r="D32" s="30">
        <f>VLOOKUP(perfil_sel&amp;"|"&amp;B32,tabela_perfis,4,0)</f>
        <v>0.1</v>
      </c>
      <c r="E32" s="38">
        <f>aporte*D32</f>
        <v>160</v>
      </c>
    </row>
    <row r="33" spans="2:5" x14ac:dyDescent="0.25">
      <c r="B33" s="37" t="str">
        <f>Apoio!H5</f>
        <v>Papel (CRI)</v>
      </c>
      <c r="C33" s="29"/>
      <c r="D33" s="30">
        <f>VLOOKUP(perfil_sel&amp;"|"&amp;B33,tabela_perfis,4,0)</f>
        <v>0.4</v>
      </c>
      <c r="E33" s="38">
        <f>aporte*D33</f>
        <v>640</v>
      </c>
    </row>
    <row r="34" spans="2:5" x14ac:dyDescent="0.25">
      <c r="B34" s="37" t="str">
        <f>Apoio!H6</f>
        <v>Fundo de fundos</v>
      </c>
      <c r="C34" s="29"/>
      <c r="D34" s="30">
        <f>VLOOKUP(perfil_sel&amp;"|"&amp;B34,tabela_perfis,4,0)</f>
        <v>0.15</v>
      </c>
      <c r="E34" s="38">
        <f>aporte*D34</f>
        <v>240</v>
      </c>
    </row>
    <row r="35" spans="2:5" x14ac:dyDescent="0.25">
      <c r="B35" s="37" t="str">
        <f>Apoio!H7</f>
        <v>Híbridos</v>
      </c>
      <c r="C35" s="29"/>
      <c r="D35" s="30">
        <f>VLOOKUP(perfil_sel&amp;"|"&amp;B35,tabela_perfis,4,0)</f>
        <v>0.1</v>
      </c>
      <c r="E35" s="38">
        <f>aporte*D35</f>
        <v>160</v>
      </c>
    </row>
    <row r="36" spans="2:5" x14ac:dyDescent="0.25">
      <c r="B36" s="39" t="s">
        <v>23</v>
      </c>
      <c r="C36" s="31"/>
      <c r="D36" s="32">
        <f>SUM(D30:D35)</f>
        <v>1</v>
      </c>
      <c r="E36" s="40">
        <f>SUM(E30:E35)</f>
        <v>1600</v>
      </c>
    </row>
    <row r="37" spans="2:5" ht="15.75" thickBot="1" x14ac:dyDescent="0.3">
      <c r="B37" s="41" t="s">
        <v>24</v>
      </c>
      <c r="C37" s="42"/>
      <c r="D37" s="43" t="str">
        <f>IF(ABS(D36-1)&lt;0.0001,"OK","Revisar aba Apoio")</f>
        <v>OK</v>
      </c>
      <c r="E37" s="44"/>
    </row>
  </sheetData>
  <mergeCells count="25">
    <mergeCell ref="B34:C34"/>
    <mergeCell ref="B35:C35"/>
    <mergeCell ref="B36:C36"/>
    <mergeCell ref="B12:D12"/>
    <mergeCell ref="B13:D13"/>
    <mergeCell ref="B14:D14"/>
    <mergeCell ref="B15:D15"/>
    <mergeCell ref="B16:D16"/>
    <mergeCell ref="B17:D17"/>
    <mergeCell ref="B18:D18"/>
    <mergeCell ref="B29:C29"/>
    <mergeCell ref="B30:C30"/>
    <mergeCell ref="B31:C31"/>
    <mergeCell ref="B32:C32"/>
    <mergeCell ref="B33:C33"/>
    <mergeCell ref="B9:D9"/>
    <mergeCell ref="B4:E4"/>
    <mergeCell ref="B28:E28"/>
    <mergeCell ref="B11:E11"/>
    <mergeCell ref="B20:E20"/>
    <mergeCell ref="B2:E2"/>
    <mergeCell ref="B5:D5"/>
    <mergeCell ref="B6:D6"/>
    <mergeCell ref="B7:D7"/>
    <mergeCell ref="B8:D8"/>
  </mergeCells>
  <dataValidations count="6">
    <dataValidation type="list" showErrorMessage="1" errorTitle="Perfil inválido" error="Escolha um perfil da lista." sqref="E9" xr:uid="{00000000-0002-0000-0000-000000000000}">
      <formula1>perfis</formula1>
      <formula2>0</formula2>
    </dataValidation>
    <dataValidation type="decimal" operator="greaterThanOrEqual" showErrorMessage="1" errorTitle="Valor inválido" error="Informe um valor maior ou igual a zero." sqref="E5 E12" xr:uid="{00000000-0002-0000-0000-000001000000}">
      <formula1>0</formula1>
      <formula2>0</formula2>
    </dataValidation>
    <dataValidation type="whole" showErrorMessage="1" errorTitle="Prazo inválido" error="Informe um número inteiro de anos entre 1 e 60." sqref="E13" xr:uid="{00000000-0002-0000-0000-000002000000}">
      <formula1>1</formula1>
      <formula2>60</formula2>
    </dataValidation>
    <dataValidation type="decimal" showErrorMessage="1" errorTitle="Taxa inválida" error="Informe a taxa mensal como percentual entre 0% e 10%." sqref="E6" xr:uid="{00000000-0002-0000-0000-000003000000}">
      <formula1>0</formula1>
      <formula2>0.1</formula2>
    </dataValidation>
    <dataValidation type="decimal" showErrorMessage="1" errorTitle="Percentual inválido" error="Informe um percentual entre 0% e 100%." sqref="E7" xr:uid="{00000000-0002-0000-0000-000004000000}">
      <formula1>0</formula1>
      <formula2>1</formula2>
    </dataValidation>
    <dataValidation type="whole" showErrorMessage="1" errorTitle="Prazo inválido" error="Informe anos inteiros entre 1 e 60." sqref="B22:B26" xr:uid="{00000000-0002-0000-0000-000005000000}">
      <formula1>1</formula1>
      <formula2>60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showGridLines="0" zoomScaleNormal="100" workbookViewId="0">
      <selection activeCell="C8" sqref="C8"/>
    </sheetView>
  </sheetViews>
  <sheetFormatPr defaultColWidth="8.7109375" defaultRowHeight="15" x14ac:dyDescent="0.25"/>
  <cols>
    <col min="1" max="1" width="30" customWidth="1"/>
    <col min="2" max="2" width="16" customWidth="1"/>
    <col min="3" max="3" width="22" customWidth="1"/>
    <col min="4" max="4" width="14" customWidth="1"/>
    <col min="5" max="5" width="3" customWidth="1"/>
    <col min="6" max="6" width="16" customWidth="1"/>
    <col min="7" max="7" width="3" customWidth="1"/>
    <col min="8" max="8" width="22" customWidth="1"/>
    <col min="9" max="9" width="3" customWidth="1"/>
    <col min="10" max="10" width="16" customWidth="1"/>
    <col min="11" max="11" width="10" customWidth="1"/>
    <col min="12" max="12" width="24" customWidth="1"/>
  </cols>
  <sheetData>
    <row r="1" spans="1:12" x14ac:dyDescent="0.25">
      <c r="A1" s="2" t="s">
        <v>25</v>
      </c>
      <c r="B1" s="2" t="s">
        <v>26</v>
      </c>
      <c r="C1" s="2" t="s">
        <v>20</v>
      </c>
      <c r="D1" s="2" t="s">
        <v>21</v>
      </c>
      <c r="F1" s="2" t="s">
        <v>27</v>
      </c>
      <c r="H1" s="2" t="s">
        <v>28</v>
      </c>
      <c r="J1" s="2" t="s">
        <v>26</v>
      </c>
      <c r="K1" s="2" t="s">
        <v>29</v>
      </c>
      <c r="L1" s="2" t="s">
        <v>30</v>
      </c>
    </row>
    <row r="2" spans="1:12" x14ac:dyDescent="0.25">
      <c r="A2" s="3" t="str">
        <f t="shared" ref="A2:A19" si="0">B2&amp;"|"&amp;C2</f>
        <v>Conservador|Logística</v>
      </c>
      <c r="B2" s="4" t="s">
        <v>31</v>
      </c>
      <c r="C2" s="4" t="s">
        <v>32</v>
      </c>
      <c r="D2" s="5">
        <v>0.15</v>
      </c>
      <c r="F2" s="4" t="s">
        <v>31</v>
      </c>
      <c r="H2" s="4" t="s">
        <v>32</v>
      </c>
      <c r="J2" s="3" t="str">
        <f>F2</f>
        <v>Conservador</v>
      </c>
      <c r="K2" s="6">
        <f>SUMIF($B$2:$B$19,J2,$D$2:$D$19)</f>
        <v>1</v>
      </c>
      <c r="L2" s="7" t="str">
        <f>IF(ABS(K2-1)&lt;0.0001,"OK","Revisar: não soma 100%")</f>
        <v>OK</v>
      </c>
    </row>
    <row r="3" spans="1:12" x14ac:dyDescent="0.25">
      <c r="A3" s="3" t="str">
        <f t="shared" si="0"/>
        <v>Conservador|Lajes corporativas</v>
      </c>
      <c r="B3" s="4" t="s">
        <v>31</v>
      </c>
      <c r="C3" s="4" t="s">
        <v>33</v>
      </c>
      <c r="D3" s="5">
        <v>0.1</v>
      </c>
      <c r="F3" s="4" t="s">
        <v>7</v>
      </c>
      <c r="H3" s="4" t="s">
        <v>33</v>
      </c>
      <c r="J3" s="3" t="str">
        <f>F3</f>
        <v>Moderado</v>
      </c>
      <c r="K3" s="6">
        <f>SUMIF($B$2:$B$19,J3,$D$2:$D$19)</f>
        <v>1</v>
      </c>
      <c r="L3" s="7" t="str">
        <f>IF(ABS(K3-1)&lt;0.0001,"OK","Revisar: não soma 100%")</f>
        <v>OK</v>
      </c>
    </row>
    <row r="4" spans="1:12" x14ac:dyDescent="0.25">
      <c r="A4" s="3" t="str">
        <f t="shared" si="0"/>
        <v>Conservador|Shoppings</v>
      </c>
      <c r="B4" s="4" t="s">
        <v>31</v>
      </c>
      <c r="C4" s="4" t="s">
        <v>34</v>
      </c>
      <c r="D4" s="5">
        <v>0.1</v>
      </c>
      <c r="F4" s="4" t="s">
        <v>35</v>
      </c>
      <c r="H4" s="4" t="s">
        <v>34</v>
      </c>
      <c r="J4" s="3" t="str">
        <f>F4</f>
        <v>Arrojado</v>
      </c>
      <c r="K4" s="6">
        <f>SUMIF($B$2:$B$19,J4,$D$2:$D$19)</f>
        <v>1</v>
      </c>
      <c r="L4" s="7" t="str">
        <f>IF(ABS(K4-1)&lt;0.0001,"OK","Revisar: não soma 100%")</f>
        <v>OK</v>
      </c>
    </row>
    <row r="5" spans="1:12" x14ac:dyDescent="0.25">
      <c r="A5" s="3" t="str">
        <f t="shared" si="0"/>
        <v>Conservador|Papel (CRI)</v>
      </c>
      <c r="B5" s="4" t="s">
        <v>31</v>
      </c>
      <c r="C5" s="4" t="s">
        <v>36</v>
      </c>
      <c r="D5" s="5">
        <v>0.4</v>
      </c>
      <c r="H5" s="4" t="s">
        <v>36</v>
      </c>
    </row>
    <row r="6" spans="1:12" x14ac:dyDescent="0.25">
      <c r="A6" s="3" t="str">
        <f t="shared" si="0"/>
        <v>Conservador|Fundo de fundos</v>
      </c>
      <c r="B6" s="4" t="s">
        <v>31</v>
      </c>
      <c r="C6" s="4" t="s">
        <v>37</v>
      </c>
      <c r="D6" s="5">
        <v>0.15</v>
      </c>
      <c r="H6" s="4" t="s">
        <v>37</v>
      </c>
    </row>
    <row r="7" spans="1:12" x14ac:dyDescent="0.25">
      <c r="A7" s="3" t="str">
        <f t="shared" si="0"/>
        <v>Conservador|Híbridos</v>
      </c>
      <c r="B7" s="4" t="s">
        <v>31</v>
      </c>
      <c r="C7" s="4" t="s">
        <v>38</v>
      </c>
      <c r="D7" s="5">
        <v>0.1</v>
      </c>
      <c r="H7" s="4" t="s">
        <v>38</v>
      </c>
    </row>
    <row r="8" spans="1:12" x14ac:dyDescent="0.25">
      <c r="A8" s="3" t="str">
        <f t="shared" si="0"/>
        <v>Moderado|Logística</v>
      </c>
      <c r="B8" s="4" t="s">
        <v>7</v>
      </c>
      <c r="C8" s="4" t="s">
        <v>32</v>
      </c>
      <c r="D8" s="5">
        <v>0.2</v>
      </c>
    </row>
    <row r="9" spans="1:12" x14ac:dyDescent="0.25">
      <c r="A9" s="3" t="str">
        <f t="shared" si="0"/>
        <v>Moderado|Lajes corporativas</v>
      </c>
      <c r="B9" s="4" t="s">
        <v>7</v>
      </c>
      <c r="C9" s="4" t="s">
        <v>33</v>
      </c>
      <c r="D9" s="5">
        <v>0.1</v>
      </c>
    </row>
    <row r="10" spans="1:12" x14ac:dyDescent="0.25">
      <c r="A10" s="3" t="str">
        <f t="shared" si="0"/>
        <v>Moderado|Shoppings</v>
      </c>
      <c r="B10" s="4" t="s">
        <v>7</v>
      </c>
      <c r="C10" s="4" t="s">
        <v>34</v>
      </c>
      <c r="D10" s="5">
        <v>0.2</v>
      </c>
    </row>
    <row r="11" spans="1:12" x14ac:dyDescent="0.25">
      <c r="A11" s="3" t="str">
        <f t="shared" si="0"/>
        <v>Moderado|Papel (CRI)</v>
      </c>
      <c r="B11" s="4" t="s">
        <v>7</v>
      </c>
      <c r="C11" s="4" t="s">
        <v>36</v>
      </c>
      <c r="D11" s="5">
        <v>0.25</v>
      </c>
    </row>
    <row r="12" spans="1:12" x14ac:dyDescent="0.25">
      <c r="A12" s="3" t="str">
        <f t="shared" si="0"/>
        <v>Moderado|Fundo de fundos</v>
      </c>
      <c r="B12" s="4" t="s">
        <v>7</v>
      </c>
      <c r="C12" s="4" t="s">
        <v>37</v>
      </c>
      <c r="D12" s="5">
        <v>0.15</v>
      </c>
    </row>
    <row r="13" spans="1:12" x14ac:dyDescent="0.25">
      <c r="A13" s="3" t="str">
        <f t="shared" si="0"/>
        <v>Moderado|Híbridos</v>
      </c>
      <c r="B13" s="4" t="s">
        <v>7</v>
      </c>
      <c r="C13" s="4" t="s">
        <v>38</v>
      </c>
      <c r="D13" s="5">
        <v>0.1</v>
      </c>
    </row>
    <row r="14" spans="1:12" x14ac:dyDescent="0.25">
      <c r="A14" s="3" t="str">
        <f t="shared" si="0"/>
        <v>Arrojado|Logística</v>
      </c>
      <c r="B14" s="4" t="s">
        <v>35</v>
      </c>
      <c r="C14" s="4" t="s">
        <v>32</v>
      </c>
      <c r="D14" s="5">
        <v>0.25</v>
      </c>
    </row>
    <row r="15" spans="1:12" x14ac:dyDescent="0.25">
      <c r="A15" s="3" t="str">
        <f t="shared" si="0"/>
        <v>Arrojado|Lajes corporativas</v>
      </c>
      <c r="B15" s="4" t="s">
        <v>35</v>
      </c>
      <c r="C15" s="4" t="s">
        <v>33</v>
      </c>
      <c r="D15" s="5">
        <v>0.15</v>
      </c>
    </row>
    <row r="16" spans="1:12" x14ac:dyDescent="0.25">
      <c r="A16" s="3" t="str">
        <f t="shared" si="0"/>
        <v>Arrojado|Shoppings</v>
      </c>
      <c r="B16" s="4" t="s">
        <v>35</v>
      </c>
      <c r="C16" s="4" t="s">
        <v>34</v>
      </c>
      <c r="D16" s="5">
        <v>0.25</v>
      </c>
    </row>
    <row r="17" spans="1:4" x14ac:dyDescent="0.25">
      <c r="A17" s="3" t="str">
        <f t="shared" si="0"/>
        <v>Arrojado|Papel (CRI)</v>
      </c>
      <c r="B17" s="4" t="s">
        <v>35</v>
      </c>
      <c r="C17" s="4" t="s">
        <v>36</v>
      </c>
      <c r="D17" s="5">
        <v>0.1</v>
      </c>
    </row>
    <row r="18" spans="1:4" x14ac:dyDescent="0.25">
      <c r="A18" s="3" t="str">
        <f t="shared" si="0"/>
        <v>Arrojado|Fundo de fundos</v>
      </c>
      <c r="B18" s="4" t="s">
        <v>35</v>
      </c>
      <c r="C18" s="4" t="s">
        <v>37</v>
      </c>
      <c r="D18" s="5">
        <v>0.15</v>
      </c>
    </row>
    <row r="19" spans="1:4" x14ac:dyDescent="0.25">
      <c r="A19" s="3" t="str">
        <f t="shared" si="0"/>
        <v>Arrojado|Híbridos</v>
      </c>
      <c r="B19" s="4" t="s">
        <v>35</v>
      </c>
      <c r="C19" s="4" t="s">
        <v>38</v>
      </c>
      <c r="D19" s="5">
        <v>0.1</v>
      </c>
    </row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Simulador</vt:lpstr>
      <vt:lpstr>Apoio</vt:lpstr>
      <vt:lpstr>anos</vt:lpstr>
      <vt:lpstr>aporte</vt:lpstr>
      <vt:lpstr>aporte_sugerido</vt:lpstr>
      <vt:lpstr>patrimonio</vt:lpstr>
      <vt:lpstr>pct_aporte</vt:lpstr>
      <vt:lpstr>perfil_sel</vt:lpstr>
      <vt:lpstr>perfis</vt:lpstr>
      <vt:lpstr>salario</vt:lpstr>
      <vt:lpstr>tabela_perfis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Fabio Guimarães</cp:lastModifiedBy>
  <cp:revision>1</cp:revision>
  <dcterms:created xsi:type="dcterms:W3CDTF">2026-10-03T21:59:17Z</dcterms:created>
  <dcterms:modified xsi:type="dcterms:W3CDTF">2026-10-03T22:27:27Z</dcterms:modified>
  <dc:language>en-US</dc:language>
</cp:coreProperties>
</file>